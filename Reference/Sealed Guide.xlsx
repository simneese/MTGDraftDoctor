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erverFolders\Reference\05-Users\Simeon Neese\Draft Tool\Reference\"/>
    </mc:Choice>
  </mc:AlternateContent>
  <xr:revisionPtr revIDLastSave="0" documentId="8_{7B8905D8-D317-4D4C-8389-7EBE304A33B8}" xr6:coauthVersionLast="47" xr6:coauthVersionMax="47" xr10:uidLastSave="{00000000-0000-0000-0000-000000000000}"/>
  <bookViews>
    <workbookView xWindow="28680" yWindow="-120" windowWidth="29040" windowHeight="15720" xr2:uid="{B0C70DEF-3055-4310-A36E-BDCB04305765}"/>
  </bookViews>
  <sheets>
    <sheet name="Mana Curve" sheetId="1" r:id="rId1"/>
    <sheet name="Basic Land Calculator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G31" i="1"/>
  <c r="N31" i="1" s="1" a="1"/>
  <c r="N31" i="1" s="1"/>
  <c r="G32" i="1"/>
  <c r="N32" i="1" s="1" a="1"/>
  <c r="N32" i="1" s="1"/>
  <c r="G33" i="1"/>
  <c r="N33" i="1" s="1" a="1"/>
  <c r="N33" i="1" s="1"/>
  <c r="G34" i="1"/>
  <c r="N34" i="1" s="1" a="1"/>
  <c r="N34" i="1" s="1"/>
  <c r="G30" i="1"/>
  <c r="N30" i="1" s="1" a="1"/>
  <c r="N30" i="1" s="1"/>
  <c r="E35" i="1"/>
  <c r="D8" i="2"/>
  <c r="E8" i="2"/>
  <c r="C8" i="2"/>
  <c r="D4" i="2"/>
  <c r="D5" i="2"/>
  <c r="D6" i="2"/>
  <c r="D7" i="2"/>
  <c r="D3" i="2"/>
  <c r="G6" i="1" a="1"/>
  <c r="G6" i="1" s="1"/>
  <c r="G8" i="1" s="1" a="1"/>
  <c r="G8" i="1" s="1"/>
  <c r="F6" i="1" a="1"/>
  <c r="F6" i="1" s="1"/>
  <c r="F8" i="1" s="1" a="1"/>
  <c r="F8" i="1" s="1"/>
  <c r="C6" i="1" a="1"/>
  <c r="C6" i="1" s="1"/>
  <c r="C8" i="1" s="1" a="1"/>
  <c r="C8" i="1" s="1"/>
  <c r="I5" i="1"/>
  <c r="I6" i="1" s="1" a="1"/>
  <c r="I6" i="1" s="1"/>
  <c r="B6" i="1" a="1"/>
  <c r="B6" i="1" s="1"/>
  <c r="B8" i="1" s="1" a="1"/>
  <c r="B8" i="1" s="1"/>
  <c r="H6" i="1" a="1"/>
  <c r="H6" i="1" s="1"/>
  <c r="H8" i="1" s="1" a="1"/>
  <c r="H8" i="1" s="1"/>
  <c r="D6" i="1" a="1"/>
  <c r="D6" i="1" s="1"/>
  <c r="D8" i="1" s="1" a="1"/>
  <c r="D8" i="1" s="1"/>
  <c r="E6" i="1" a="1"/>
  <c r="E6" i="1" s="1"/>
  <c r="E8" i="1" s="1" a="1"/>
  <c r="E8" i="1" s="1"/>
  <c r="S30" i="1" l="1" a="1"/>
  <c r="S30" i="1" s="1"/>
  <c r="T30" i="1" s="1"/>
  <c r="Q30" i="1" a="1"/>
  <c r="Q30" i="1" s="1"/>
  <c r="P30" i="1" a="1"/>
  <c r="R30" i="1" a="1"/>
  <c r="N35" i="1"/>
  <c r="G35" i="1"/>
  <c r="I8" i="1" a="1"/>
  <c r="I8" i="1" s="1"/>
  <c r="AA33" i="1" l="1"/>
  <c r="X32" i="1"/>
  <c r="R30" i="1"/>
  <c r="D37" i="1" s="1" a="1"/>
  <c r="D37" i="1" s="1"/>
  <c r="P30" i="1"/>
  <c r="U31" i="1"/>
  <c r="W30" i="1" l="1"/>
  <c r="Z30" i="1" s="1"/>
  <c r="AC30" i="1" s="1"/>
  <c r="V31" i="1" a="1"/>
  <c r="V31" i="1" s="1"/>
  <c r="W31" i="1" s="1"/>
  <c r="Z31" i="1" l="1"/>
  <c r="AC31" i="1" s="1"/>
  <c r="AF31" i="1" s="1"/>
  <c r="AF30" i="1"/>
  <c r="Y32" i="1" a="1"/>
  <c r="Y32" i="1" s="1"/>
  <c r="Z32" i="1" s="1"/>
  <c r="AB33" i="1" l="1" a="1"/>
  <c r="AB33" i="1" s="1"/>
  <c r="AC33" i="1" s="1"/>
  <c r="AC32" i="1"/>
  <c r="AF33" i="1" l="1"/>
  <c r="AF32" i="1"/>
  <c r="AE34" i="1" l="1" a="1"/>
  <c r="AE34" i="1" s="1"/>
  <c r="AF34" i="1" l="1"/>
  <c r="D38" i="1" s="1" a="1"/>
  <c r="D38" i="1" l="1"/>
  <c r="I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<sst xmlns="http://schemas.openxmlformats.org/spreadsheetml/2006/main" count="63" uniqueCount="39">
  <si>
    <t>6+</t>
  </si>
  <si>
    <t>1</t>
  </si>
  <si>
    <t>2</t>
  </si>
  <si>
    <t>3</t>
  </si>
  <si>
    <t>4</t>
  </si>
  <si>
    <t>5</t>
  </si>
  <si>
    <t>Recommended</t>
  </si>
  <si>
    <t>Cost</t>
  </si>
  <si>
    <t>Min</t>
  </si>
  <si>
    <t>Max</t>
  </si>
  <si>
    <t>TOTAL</t>
  </si>
  <si>
    <t>Lands</t>
  </si>
  <si>
    <t>MANA CURVE</t>
  </si>
  <si>
    <t>edit table to adjust recommended curve</t>
  </si>
  <si>
    <t>Color</t>
  </si>
  <si>
    <t>R</t>
  </si>
  <si>
    <t>W</t>
  </si>
  <si>
    <t>U</t>
  </si>
  <si>
    <t>B</t>
  </si>
  <si>
    <t>G</t>
  </si>
  <si>
    <t>Count</t>
  </si>
  <si>
    <t>Percentage</t>
  </si>
  <si>
    <t>Total</t>
  </si>
  <si>
    <t>Colors in Cost</t>
  </si>
  <si>
    <t>Colors on Lands</t>
  </si>
  <si>
    <t>Needed</t>
  </si>
  <si>
    <t>BASIC LANDS</t>
  </si>
  <si>
    <t>On Duals</t>
  </si>
  <si>
    <t>Cost%</t>
  </si>
  <si>
    <t>Plains</t>
  </si>
  <si>
    <t>Islands</t>
  </si>
  <si>
    <t>Swamps</t>
  </si>
  <si>
    <t>Forests</t>
  </si>
  <si>
    <t>Mounts</t>
  </si>
  <si>
    <t>Basic Lands Needed</t>
  </si>
  <si>
    <t>Int Need</t>
  </si>
  <si>
    <t>Owned</t>
  </si>
  <si>
    <t>need</t>
  </si>
  <si>
    <t>In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</si>
</sst>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8"/>
      <color theme="1" tint="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7" xfId="0" applyFill="1" applyBorder="1"/>
    <xf numFmtId="0" fontId="0" fillId="3" borderId="9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0" fillId="3" borderId="18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5" borderId="7" xfId="0" applyFill="1" applyBorder="1"/>
    <xf numFmtId="0" fontId="0" fillId="5" borderId="9" xfId="0" applyFill="1" applyBorder="1"/>
    <xf numFmtId="0" fontId="3" fillId="4" borderId="4" xfId="0" applyFont="1" applyFill="1" applyBorder="1" applyAlignment="1">
      <alignment horizontal="right"/>
    </xf>
    <xf numFmtId="0" fontId="0" fillId="4" borderId="13" xfId="0" applyFill="1" applyBorder="1" applyAlignment="1">
      <alignment horizontal="right"/>
    </xf>
    <xf numFmtId="0" fontId="0" fillId="4" borderId="16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5" fillId="0" borderId="0" xfId="0" applyFont="1" applyAlignment="1">
      <alignment vertical="top" wrapText="1"/>
    </xf>
    <xf numFmtId="9" fontId="0" fillId="0" borderId="0" xfId="1" applyFont="1"/>
    <xf numFmtId="10" fontId="0" fillId="0" borderId="0" xfId="1" applyNumberFormat="1" applyFont="1"/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20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right"/>
    </xf>
    <xf numFmtId="0" fontId="2" fillId="2" borderId="24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right"/>
    </xf>
    <xf numFmtId="1" fontId="0" fillId="0" borderId="10" xfId="0" applyNumberFormat="1" applyBorder="1" applyAlignment="1">
      <alignment horizontal="right"/>
    </xf>
    <xf numFmtId="0" fontId="2" fillId="2" borderId="20" xfId="0" applyFont="1" applyFill="1" applyBorder="1"/>
    <xf numFmtId="0" fontId="2" fillId="2" borderId="20" xfId="0" applyFont="1" applyFill="1" applyBorder="1" applyAlignment="1">
      <alignment horizontal="right"/>
    </xf>
    <xf numFmtId="10" fontId="0" fillId="0" borderId="19" xfId="1" applyNumberFormat="1" applyFont="1" applyBorder="1" applyAlignment="1">
      <alignment horizontal="right"/>
    </xf>
    <xf numFmtId="10" fontId="0" fillId="0" borderId="12" xfId="1" applyNumberFormat="1" applyFont="1" applyBorder="1" applyAlignment="1">
      <alignment horizontal="right"/>
    </xf>
    <xf numFmtId="0" fontId="3" fillId="0" borderId="22" xfId="0" applyFont="1" applyBorder="1"/>
    <xf numFmtId="0" fontId="3" fillId="0" borderId="26" xfId="0" applyFont="1" applyBorder="1" applyAlignment="1">
      <alignment horizontal="right"/>
    </xf>
    <xf numFmtId="0" fontId="3" fillId="0" borderId="31" xfId="0" applyFont="1" applyBorder="1" applyAlignment="1">
      <alignment horizontal="right"/>
    </xf>
    <xf numFmtId="9" fontId="3" fillId="0" borderId="22" xfId="1" applyFont="1" applyBorder="1" applyAlignment="1">
      <alignment horizontal="right"/>
    </xf>
    <xf numFmtId="0" fontId="0" fillId="3" borderId="27" xfId="0" applyFill="1" applyBorder="1" applyAlignment="1">
      <alignment horizontal="right"/>
    </xf>
    <xf numFmtId="0" fontId="0" fillId="3" borderId="29" xfId="0" applyFill="1" applyBorder="1" applyAlignment="1">
      <alignment horizontal="right"/>
    </xf>
    <xf numFmtId="0" fontId="0" fillId="3" borderId="28" xfId="0" applyFill="1" applyBorder="1" applyAlignment="1">
      <alignment horizontal="right"/>
    </xf>
    <xf numFmtId="0" fontId="0" fillId="3" borderId="30" xfId="0" applyFill="1" applyBorder="1" applyAlignment="1">
      <alignment horizontal="right"/>
    </xf>
    <xf numFmtId="0" fontId="0" fillId="5" borderId="27" xfId="0" applyFill="1" applyBorder="1" applyAlignment="1">
      <alignment horizontal="right"/>
    </xf>
    <xf numFmtId="0" fontId="0" fillId="5" borderId="29" xfId="0" applyFill="1" applyBorder="1" applyAlignment="1">
      <alignment horizontal="right"/>
    </xf>
    <xf numFmtId="0" fontId="3" fillId="0" borderId="19" xfId="0" applyFont="1" applyBorder="1"/>
    <xf numFmtId="0" fontId="3" fillId="0" borderId="12" xfId="0" applyFont="1" applyBorder="1"/>
    <xf numFmtId="1" fontId="0" fillId="0" borderId="11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21"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6" tint="0.39994506668294322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v>MAX</c:v>
          </c:tx>
          <c:spPr>
            <a:ln w="19050" cap="rnd">
              <a:solidFill>
                <a:schemeClr val="bg2">
                  <a:lumMod val="9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'Mana Curve'!$L$13:$L$18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F6-4A64-8421-DAA709FE7F5A}"/>
            </c:ext>
          </c:extLst>
        </c:ser>
        <c:ser>
          <c:idx val="3"/>
          <c:order val="1"/>
          <c:tx>
            <c:v>MIN</c:v>
          </c:tx>
          <c:spPr>
            <a:ln w="19050" cap="rnd">
              <a:solidFill>
                <a:schemeClr val="bg2">
                  <a:lumMod val="9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'Mana Curve'!$K$13:$K$18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F6-4A64-8421-DAA709FE7F5A}"/>
            </c:ext>
          </c:extLst>
        </c:ser>
        <c:ser>
          <c:idx val="0"/>
          <c:order val="2"/>
          <c:tx>
            <c:v>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'Mana Curve'!$C$4:$H$4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6+</c:v>
                </c:pt>
              </c:strCache>
            </c:strRef>
          </c:cat>
          <c:val>
            <c:numRef>
              <c:f>'Mana Curve'!$C$5:$H$5</c:f>
              <c:numCache>
                <c:formatCode>General</c:formatCode>
                <c:ptCount val="6"/>
                <c:pt idx="0">
                  <c:v>2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C5-424B-B0B1-4E4E6D398BEE}"/>
            </c:ext>
          </c:extLst>
        </c:ser>
        <c:ser>
          <c:idx val="1"/>
          <c:order val="3"/>
          <c:tx>
            <c:v>RECOMMENDED</c:v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'Mana Curve'!$C$4:$H$4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6+</c:v>
                </c:pt>
              </c:strCache>
            </c:strRef>
          </c:cat>
          <c:val>
            <c:numRef>
              <c:f>'Mana Curve'!$C$8:$H$8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C5-424B-B0B1-4E4E6D398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204576"/>
        <c:axId val="1329214656"/>
      </c:lineChart>
      <c:catAx>
        <c:axId val="132920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Mana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14656"/>
        <c:crosses val="autoZero"/>
        <c:auto val="1"/>
        <c:lblAlgn val="ctr"/>
        <c:lblOffset val="100"/>
        <c:tickMarkSkip val="1"/>
        <c:noMultiLvlLbl val="0"/>
      </c:catAx>
      <c:valAx>
        <c:axId val="13292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04576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71437</xdr:rowOff>
    </xdr:from>
    <xdr:to>
      <xdr:col>8</xdr:col>
      <xdr:colOff>549519</xdr:colOff>
      <xdr:row>23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89BA0-E48E-D992-D2BC-087FEBDF6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FF050-C673-43C8-A34C-4C4EB750B7A2}" name="Table1" displayName="Table1" ref="B4:I6" totalsRowCount="1" headerRowDxfId="20" totalsRowDxfId="18" tableBorderDxfId="19">
  <autoFilter ref="B4:I5" xr:uid="{A88FF050-C673-43C8-A34C-4C4EB750B7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7" xr3:uid="{09620DD5-3C5C-4D16-8BD6-1FF7990426D6}" name="Lands" totalsRowFunction="custom" dataDxfId="17" totalsRowDxfId="16">
      <totalsRowFormula array="1">IF(Table1[Lands]&lt;K19,K19-Table1[Lands],IF(Table1[Lands]&gt;L19,L19-Table1[Lands],"GOOD"))</totalsRowFormula>
    </tableColumn>
    <tableColumn id="1" xr3:uid="{FAE255AB-7E3B-41E2-AE83-4A6639A3FA93}" name="1" totalsRowFunction="custom" dataDxfId="15" totalsRowDxfId="14">
      <totalsRowFormula array="1">IF(Table1[1]&lt;K13,K13-Table1[1],IF(Table1[1]&gt;L13,L13-Table1[1],"GOOD"))</totalsRowFormula>
    </tableColumn>
    <tableColumn id="2" xr3:uid="{FC12B396-242C-4AB9-98AC-86AF18CEC3C7}" name="2" totalsRowFunction="custom" dataDxfId="13" totalsRowDxfId="12">
      <totalsRowFormula array="1">IF(Table1[2]&lt;K14,K14-Table1[2],IF(Table1[2]&gt;L14,L14-Table1[2],"GOOD"))</totalsRowFormula>
    </tableColumn>
    <tableColumn id="3" xr3:uid="{66DF121A-5D26-46BB-BAE5-66CF5B23B870}" name="3" totalsRowFunction="custom" dataDxfId="11" totalsRowDxfId="10">
      <totalsRowFormula array="1">IF(Table1[3]&lt;K15,K15-Table1[3],IF(Table1[3]&gt;L15,L15-Table1[3],"GOOD"))</totalsRowFormula>
    </tableColumn>
    <tableColumn id="4" xr3:uid="{C020F1B5-77DC-4AF2-A3D3-E14272FA8B9C}" name="4" totalsRowFunction="custom" dataDxfId="9" totalsRowDxfId="8">
      <totalsRowFormula array="1">IF(Table1[4]&lt;K16,K16-Table1[4],IF(Table1[4]&gt;L16,L16-Table1[4],"GOOD"))</totalsRowFormula>
    </tableColumn>
    <tableColumn id="5" xr3:uid="{23C26DE1-8C82-4051-B4E2-B2F94E1A98E7}" name="5" totalsRowFunction="custom" dataDxfId="7" totalsRowDxfId="6">
      <totalsRowFormula array="1">IF(Table1[5]&lt;K17,K17-Table1[5],IF(Table1[5]&gt;L17,L17-Table1[5],"GOOD"))</totalsRowFormula>
    </tableColumn>
    <tableColumn id="6" xr3:uid="{C04936B8-B5C3-477D-AA15-3C876EA132AB}" name="6+" totalsRowFunction="custom" dataDxfId="5" totalsRowDxfId="4">
      <totalsRowFormula array="1">IF(Table1[6+]&gt;L18,L18-Table1[6+],"GOOD")</totalsRowFormula>
    </tableColumn>
    <tableColumn id="8" xr3:uid="{743677A3-1F07-4209-B877-C89B35019BBD}" name="TOTAL" totalsRowFunction="custom" dataDxfId="3" totalsRowDxfId="2">
      <calculatedColumnFormula>SUM(Table1[[#This Row],[Lands]:[6+]])</calculatedColumnFormula>
      <totalsRowFormula array="1">IF(K20-Table1[TOTAL]=0,"GOOD",K20-Table1[TOTAL])</totalsRow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79EE-2BB7-4ED2-8AF2-E93FF702AF46}">
  <dimension ref="A2:AH38"/>
  <sheetViews>
    <sheetView showGridLines="0" showRowColHeaders="0" tabSelected="1" zoomScale="85" zoomScaleNormal="85" workbookViewId="0">
      <selection activeCell="K29" sqref="K29"/>
    </sheetView>
  </sheetViews>
  <sheetFormatPr defaultRowHeight="15" x14ac:dyDescent="0.25"/>
  <cols>
    <col min="14" max="34" width="9.140625" hidden="1" customWidth="1"/>
  </cols>
  <sheetData>
    <row r="2" spans="1:12" ht="28.5" x14ac:dyDescent="0.45">
      <c r="D2" s="49" t="s">
        <v>12</v>
      </c>
      <c r="E2" s="49"/>
      <c r="F2" s="49"/>
      <c r="G2" s="49"/>
    </row>
    <row r="3" spans="1:12" ht="15.75" thickBot="1" x14ac:dyDescent="0.3"/>
    <row r="4" spans="1:12" x14ac:dyDescent="0.25">
      <c r="B4" s="22" t="s">
        <v>11</v>
      </c>
      <c r="C4" s="23" t="s">
        <v>1</v>
      </c>
      <c r="D4" s="23" t="s">
        <v>2</v>
      </c>
      <c r="E4" s="23" t="s">
        <v>3</v>
      </c>
      <c r="F4" s="23" t="s">
        <v>4</v>
      </c>
      <c r="G4" s="23" t="s">
        <v>5</v>
      </c>
      <c r="H4" s="23" t="s">
        <v>0</v>
      </c>
      <c r="I4" s="24" t="s">
        <v>10</v>
      </c>
    </row>
    <row r="5" spans="1:12" x14ac:dyDescent="0.25">
      <c r="B5" s="2">
        <v>17</v>
      </c>
      <c r="C5" s="2">
        <v>2</v>
      </c>
      <c r="D5" s="2">
        <v>9</v>
      </c>
      <c r="E5" s="2">
        <v>6</v>
      </c>
      <c r="F5" s="2">
        <v>2</v>
      </c>
      <c r="G5" s="2">
        <v>3</v>
      </c>
      <c r="H5" s="2">
        <v>1</v>
      </c>
      <c r="I5" s="26">
        <f>SUM(Table1[[#This Row],[Lands]:[6+]])</f>
        <v>40</v>
      </c>
    </row>
    <row r="6" spans="1:12" ht="15.75" thickBot="1" x14ac:dyDescent="0.3">
      <c r="B6" s="2" t="str" cm="1">
        <f t="array" ref="B6">IF(Table1[Lands]&lt;K19,K19-Table1[Lands],IF(Table1[Lands]&gt;L19,L19-Table1[Lands],"GOOD"))</f>
        <v>GOOD</v>
      </c>
      <c r="C6" s="2" t="str" cm="1">
        <f t="array" ref="C6">IF(Table1[1]&lt;K13,K13-Table1[1],IF(Table1[1]&gt;L13,L13-Table1[1],"GOOD"))</f>
        <v>GOOD</v>
      </c>
      <c r="D6" s="2" cm="1">
        <f t="array" ref="D6">IF(Table1[2]&lt;K14,K14-Table1[2],IF(Table1[2]&gt;L14,L14-Table1[2],"GOOD"))</f>
        <v>-1</v>
      </c>
      <c r="E6" s="2" t="str" cm="1">
        <f t="array" ref="E6">IF(Table1[3]&lt;K15,K15-Table1[3],IF(Table1[3]&gt;L15,L15-Table1[3],"GOOD"))</f>
        <v>GOOD</v>
      </c>
      <c r="F6" s="2" cm="1">
        <f t="array" ref="F6">IF(Table1[4]&lt;K16,K16-Table1[4],IF(Table1[4]&gt;L16,L16-Table1[4],"GOOD"))</f>
        <v>1</v>
      </c>
      <c r="G6" s="2" t="str" cm="1">
        <f t="array" ref="G6">IF(Table1[5]&lt;K17,K17-Table1[5],IF(Table1[5]&gt;L17,L17-Table1[5],"GOOD"))</f>
        <v>GOOD</v>
      </c>
      <c r="H6" s="2" t="str" cm="1">
        <f t="array" ref="H6">IF(Table1[6+]&gt;L18,L18-Table1[6+],"GOOD")</f>
        <v>GOOD</v>
      </c>
      <c r="I6" s="25" t="str" cm="1">
        <f t="array" ref="I6">IF(K20-Table1[TOTAL]=0,"GOOD",K20-Table1[TOTAL])</f>
        <v>GOOD</v>
      </c>
    </row>
    <row r="7" spans="1:12" hidden="1" x14ac:dyDescent="0.25"/>
    <row r="8" spans="1:12" hidden="1" x14ac:dyDescent="0.25">
      <c r="A8" t="s">
        <v>6</v>
      </c>
      <c r="B8" cm="1">
        <f t="array" ref="B8">IFERROR(Table1[Lands]+Table1[[#Totals],[Lands]],Table1[Lands])</f>
        <v>17</v>
      </c>
      <c r="C8" cm="1">
        <f t="array" ref="C8">IFERROR(Table1[1]+Table1[[#Totals],[1]],Table1[1])</f>
        <v>2</v>
      </c>
      <c r="D8" cm="1">
        <f t="array" ref="D8">IFERROR(Table1[2]+Table1[[#Totals],[2]],Table1[2])</f>
        <v>8</v>
      </c>
      <c r="E8" cm="1">
        <f t="array" ref="E8">IFERROR(Table1[3]+Table1[[#Totals],[3]],Table1[3])</f>
        <v>6</v>
      </c>
      <c r="F8" cm="1">
        <f t="array" ref="F8">IFERROR(Table1[4]+Table1[[#Totals],[4]],Table1[4])</f>
        <v>3</v>
      </c>
      <c r="G8" cm="1">
        <f t="array" ref="G8">IFERROR(Table1[5]+Table1[[#Totals],[5]],Table1[5])</f>
        <v>3</v>
      </c>
      <c r="H8" cm="1">
        <f t="array" ref="H8">IFERROR(Table1[6+]+Table1[[#Totals],[6+]],Table1[6+])</f>
        <v>1</v>
      </c>
      <c r="I8" cm="1">
        <f t="array" ref="I8">IFERROR(Table1[TOTAL]+Table1[[#Totals],[TOTAL]],Table1[TOTAL])</f>
        <v>40</v>
      </c>
    </row>
    <row r="9" spans="1:12" hidden="1" x14ac:dyDescent="0.25"/>
    <row r="10" spans="1:12" ht="15.75" thickBot="1" x14ac:dyDescent="0.3"/>
    <row r="11" spans="1:12" x14ac:dyDescent="0.25">
      <c r="J11" s="54" t="s">
        <v>6</v>
      </c>
      <c r="K11" s="55"/>
      <c r="L11" s="56"/>
    </row>
    <row r="12" spans="1:12" ht="15.75" thickBot="1" x14ac:dyDescent="0.3">
      <c r="J12" s="9" t="s">
        <v>7</v>
      </c>
      <c r="K12" s="10" t="s">
        <v>8</v>
      </c>
      <c r="L12" s="11" t="s">
        <v>9</v>
      </c>
    </row>
    <row r="13" spans="1:12" ht="15.75" thickTop="1" x14ac:dyDescent="0.25">
      <c r="J13" s="16">
        <v>1</v>
      </c>
      <c r="K13" s="7">
        <v>1</v>
      </c>
      <c r="L13" s="8">
        <v>2</v>
      </c>
    </row>
    <row r="14" spans="1:12" x14ac:dyDescent="0.25">
      <c r="J14" s="17">
        <v>2</v>
      </c>
      <c r="K14" s="12">
        <v>7</v>
      </c>
      <c r="L14" s="13">
        <v>8</v>
      </c>
    </row>
    <row r="15" spans="1:12" x14ac:dyDescent="0.25">
      <c r="J15" s="17">
        <v>3</v>
      </c>
      <c r="K15" s="3">
        <v>5</v>
      </c>
      <c r="L15" s="4">
        <v>6</v>
      </c>
    </row>
    <row r="16" spans="1:12" x14ac:dyDescent="0.25">
      <c r="J16" s="17">
        <v>4</v>
      </c>
      <c r="K16" s="12">
        <v>3</v>
      </c>
      <c r="L16" s="13">
        <v>4</v>
      </c>
    </row>
    <row r="17" spans="3:34" x14ac:dyDescent="0.25">
      <c r="J17" s="17">
        <v>5</v>
      </c>
      <c r="K17" s="3">
        <v>2</v>
      </c>
      <c r="L17" s="4">
        <v>3</v>
      </c>
    </row>
    <row r="18" spans="3:34" x14ac:dyDescent="0.25">
      <c r="J18" s="17" t="s">
        <v>0</v>
      </c>
      <c r="K18" s="12">
        <v>0</v>
      </c>
      <c r="L18" s="13">
        <v>1</v>
      </c>
    </row>
    <row r="19" spans="3:34" ht="15.75" thickBot="1" x14ac:dyDescent="0.3">
      <c r="J19" s="15" t="s">
        <v>11</v>
      </c>
      <c r="K19" s="5">
        <v>17</v>
      </c>
      <c r="L19" s="6">
        <v>18</v>
      </c>
    </row>
    <row r="20" spans="3:34" ht="16.5" thickTop="1" thickBot="1" x14ac:dyDescent="0.3">
      <c r="J20" s="14" t="s">
        <v>10</v>
      </c>
      <c r="K20" s="57">
        <v>40</v>
      </c>
      <c r="L20" s="58"/>
    </row>
    <row r="21" spans="3:34" ht="15" customHeight="1" x14ac:dyDescent="0.25">
      <c r="J21" s="59" t="s">
        <v>13</v>
      </c>
      <c r="K21" s="59"/>
      <c r="L21" s="59"/>
    </row>
    <row r="22" spans="3:34" x14ac:dyDescent="0.25">
      <c r="J22" s="18"/>
      <c r="K22" s="18"/>
      <c r="L22" s="18"/>
    </row>
    <row r="27" spans="3:34" ht="28.5" x14ac:dyDescent="0.45">
      <c r="D27" s="49" t="s">
        <v>26</v>
      </c>
      <c r="E27" s="49"/>
      <c r="F27" s="49"/>
      <c r="G27" s="49"/>
    </row>
    <row r="28" spans="3:34" ht="15.75" thickBot="1" x14ac:dyDescent="0.3"/>
    <row r="29" spans="3:34" ht="15" customHeight="1" x14ac:dyDescent="0.25">
      <c r="C29" s="27"/>
      <c r="D29" s="32" t="s">
        <v>14</v>
      </c>
      <c r="E29" s="28" t="s">
        <v>38</v>
      </c>
      <c r="F29" s="28" t="s">
        <v>27</v>
      </c>
      <c r="G29" s="33" t="s">
        <v>28</v>
      </c>
      <c r="N29" s="1" t="s">
        <v>25</v>
      </c>
      <c r="P29" t="s">
        <v>7</v>
      </c>
      <c r="Q29" t="s">
        <v>36</v>
      </c>
      <c r="S29" t="s">
        <v>35</v>
      </c>
      <c r="T29" t="s">
        <v>20</v>
      </c>
      <c r="U29" t="s">
        <v>28</v>
      </c>
      <c r="V29" t="s">
        <v>37</v>
      </c>
      <c r="W29" t="s">
        <v>20</v>
      </c>
      <c r="X29" t="s">
        <v>28</v>
      </c>
      <c r="Y29" t="s">
        <v>37</v>
      </c>
      <c r="Z29" t="s">
        <v>20</v>
      </c>
      <c r="AA29" t="s">
        <v>28</v>
      </c>
      <c r="AB29" t="s">
        <v>37</v>
      </c>
      <c r="AC29" t="s">
        <v>20</v>
      </c>
      <c r="AD29" t="s">
        <v>28</v>
      </c>
      <c r="AE29" t="s">
        <v>37</v>
      </c>
      <c r="AF29" t="s">
        <v>20</v>
      </c>
    </row>
    <row r="30" spans="3:34" x14ac:dyDescent="0.25">
      <c r="C30" s="27"/>
      <c r="D30" s="46" t="s">
        <v>16</v>
      </c>
      <c r="E30" s="40">
        <v>40</v>
      </c>
      <c r="F30" s="41">
        <v>2</v>
      </c>
      <c r="G30" s="34">
        <f>IFERROR(E30/SUM($E$30:$E$34),0)</f>
        <v>0.70175438596491224</v>
      </c>
      <c r="N30" s="21" cm="1">
        <f t="array" ref="N30">G30*Table1[Lands]-F30/2</f>
        <v>10.929824561403509</v>
      </c>
      <c r="P30" cm="1">
        <f t="array" ref="P30:P34">_xlfn.SORTBY(E30:E34,N30:N34)</f>
        <v>0</v>
      </c>
      <c r="Q30" cm="1">
        <f t="array" ref="Q30:Q34">_xlfn.SORTBY(F30:F34,N30:N34)</f>
        <v>0</v>
      </c>
      <c r="R30" t="str" cm="1">
        <f t="array" ref="R30:R34">_xlfn.SORTBY(AH30:AH34,N30:N34,1)</f>
        <v>Mounts</v>
      </c>
      <c r="S30" cm="1">
        <f t="array" ref="S30">INDEX(_xlfn._xlws.SORT(N30:N34),1)</f>
        <v>0</v>
      </c>
      <c r="T30">
        <f>IF(S30&lt;0,0,S30)</f>
        <v>0</v>
      </c>
      <c r="W30">
        <f>T30</f>
        <v>0</v>
      </c>
      <c r="Z30">
        <f>W30</f>
        <v>0</v>
      </c>
      <c r="AC30">
        <f>Z30</f>
        <v>0</v>
      </c>
      <c r="AF30">
        <f>AC30</f>
        <v>0</v>
      </c>
      <c r="AH30" t="s">
        <v>29</v>
      </c>
    </row>
    <row r="31" spans="3:34" x14ac:dyDescent="0.25">
      <c r="C31" s="2"/>
      <c r="D31" s="46" t="s">
        <v>17</v>
      </c>
      <c r="E31" s="44">
        <v>15</v>
      </c>
      <c r="F31" s="45">
        <v>2</v>
      </c>
      <c r="G31" s="34">
        <f>IFERROR(E31/SUM($E$30:$E$34),0)</f>
        <v>0.26315789473684209</v>
      </c>
      <c r="N31" s="21" cm="1">
        <f t="array" ref="N31">G31*Table1[Lands]-F31/2</f>
        <v>3.4736842105263159</v>
      </c>
      <c r="P31">
        <v>0</v>
      </c>
      <c r="Q31">
        <v>0</v>
      </c>
      <c r="R31" t="str">
        <v>Forests</v>
      </c>
      <c r="U31">
        <f>P31/SUM($P$31:$P$34)</f>
        <v>0</v>
      </c>
      <c r="V31" cm="1">
        <f t="array" ref="V31">U31*(Table1[Lands]-T30)-$Q31/2</f>
        <v>0</v>
      </c>
      <c r="W31">
        <f>IF(V31&lt;0,0,IF(Q31=0,_xlfn.CEILING.MATH(V31),ROUND(V31,0)))</f>
        <v>0</v>
      </c>
      <c r="Z31">
        <f>W31</f>
        <v>0</v>
      </c>
      <c r="AC31">
        <f t="shared" ref="AC31:AC32" si="0">Z31</f>
        <v>0</v>
      </c>
      <c r="AF31">
        <f t="shared" ref="AF31:AF33" si="1">AC31</f>
        <v>0</v>
      </c>
      <c r="AH31" t="s">
        <v>30</v>
      </c>
    </row>
    <row r="32" spans="3:34" x14ac:dyDescent="0.25">
      <c r="D32" s="46" t="s">
        <v>18</v>
      </c>
      <c r="E32" s="40">
        <v>2</v>
      </c>
      <c r="F32" s="41"/>
      <c r="G32" s="34">
        <f>IFERROR(E32/SUM($E$30:$E$34),0)</f>
        <v>3.5087719298245612E-2</v>
      </c>
      <c r="N32" s="21" cm="1">
        <f t="array" ref="N32">G32*Table1[Lands]-F32/2</f>
        <v>0.59649122807017541</v>
      </c>
      <c r="P32">
        <v>2</v>
      </c>
      <c r="Q32">
        <v>0</v>
      </c>
      <c r="R32" t="str">
        <v>Swamps</v>
      </c>
      <c r="X32">
        <f>P32/SUM($P$32:$P$34)</f>
        <v>3.5087719298245612E-2</v>
      </c>
      <c r="Y32" cm="1">
        <f t="array" ref="Y32">X32*(Table1[Lands]-SUM(W30:W31)-$Q32/2)</f>
        <v>0.59649122807017541</v>
      </c>
      <c r="Z32">
        <f>IF(Y32&lt;0,0,IF(T32=0,_xlfn.CEILING.MATH(Y32),ROUND(Y32,0)))</f>
        <v>1</v>
      </c>
      <c r="AC32">
        <f t="shared" si="0"/>
        <v>1</v>
      </c>
      <c r="AF32">
        <f t="shared" si="1"/>
        <v>1</v>
      </c>
      <c r="AH32" t="s">
        <v>31</v>
      </c>
    </row>
    <row r="33" spans="2:34" x14ac:dyDescent="0.25">
      <c r="D33" s="46" t="s">
        <v>15</v>
      </c>
      <c r="E33" s="44"/>
      <c r="F33" s="45"/>
      <c r="G33" s="34">
        <f>IFERROR(E33/SUM($E$30:$E$34),0)</f>
        <v>0</v>
      </c>
      <c r="N33" s="21" cm="1">
        <f t="array" ref="N33">G33*Table1[Lands]-F33/2</f>
        <v>0</v>
      </c>
      <c r="P33">
        <v>15</v>
      </c>
      <c r="Q33">
        <v>2</v>
      </c>
      <c r="R33" t="str">
        <v>Islands</v>
      </c>
      <c r="AA33">
        <f>P33/SUM($P$33:$P$34)</f>
        <v>0.27272727272727271</v>
      </c>
      <c r="AB33" cm="1">
        <f t="array" ref="AB33">AA33*(Table1[Lands]-SUM(Z30:Z32)-$Q33/2)</f>
        <v>4.0909090909090908</v>
      </c>
      <c r="AC33">
        <f>IF(AB33&lt;0,0,IF(W33=0,_xlfn.CEILING.MATH(AB33),ROUND(AB33,0)))</f>
        <v>5</v>
      </c>
      <c r="AF33">
        <f t="shared" si="1"/>
        <v>5</v>
      </c>
      <c r="AH33" t="s">
        <v>33</v>
      </c>
    </row>
    <row r="34" spans="2:34" ht="15.75" thickBot="1" x14ac:dyDescent="0.3">
      <c r="D34" s="47" t="s">
        <v>19</v>
      </c>
      <c r="E34" s="42"/>
      <c r="F34" s="43"/>
      <c r="G34" s="35">
        <f>IFERROR(E34/SUM($E$30:$E$34),0)</f>
        <v>0</v>
      </c>
      <c r="N34" s="21" cm="1">
        <f t="array" ref="N34">G34*Table1[Lands]-F34/2</f>
        <v>0</v>
      </c>
      <c r="P34">
        <v>40</v>
      </c>
      <c r="Q34">
        <v>2</v>
      </c>
      <c r="R34" t="str">
        <v>Plains</v>
      </c>
      <c r="AD34">
        <v>1</v>
      </c>
      <c r="AE34" cm="1">
        <f t="array" ref="AE34">Table1[Lands]-SUM(AC30:AC33)-SUM(_xlfn.ANCHORARRAY(Q30))/2</f>
        <v>9</v>
      </c>
      <c r="AF34">
        <f>IF(AE34&lt;0,0,AE34)</f>
        <v>9</v>
      </c>
      <c r="AH34" t="s">
        <v>32</v>
      </c>
    </row>
    <row r="35" spans="2:34" ht="16.5" thickTop="1" thickBot="1" x14ac:dyDescent="0.3">
      <c r="D35" s="36" t="s">
        <v>10</v>
      </c>
      <c r="E35" s="37">
        <f>SUM(E30:E34)</f>
        <v>57</v>
      </c>
      <c r="F35" s="38">
        <f>SUM(F30:F34)</f>
        <v>4</v>
      </c>
      <c r="G35" s="39">
        <f>SUM(G30:G34)</f>
        <v>0.99999999999999989</v>
      </c>
      <c r="N35" s="1">
        <f>SUM(N30:N34)</f>
        <v>15</v>
      </c>
    </row>
    <row r="36" spans="2:34" ht="15.75" thickBot="1" x14ac:dyDescent="0.3"/>
    <row r="37" spans="2:34" x14ac:dyDescent="0.25">
      <c r="B37" s="50" t="s">
        <v>34</v>
      </c>
      <c r="C37" s="51"/>
      <c r="D37" s="29" t="str" cm="1">
        <f t="array" ref="D37:H37">TRANSPOSE(_xlfn.ANCHORARRAY(R30))</f>
        <v>Mounts</v>
      </c>
      <c r="E37" s="29" t="str">
        <v>Forests</v>
      </c>
      <c r="F37" s="29" t="str">
        <v>Swamps</v>
      </c>
      <c r="G37" s="29" t="str">
        <v>Islands</v>
      </c>
      <c r="H37" s="29" t="str">
        <v>Plains</v>
      </c>
      <c r="I37" s="30" t="s">
        <v>22</v>
      </c>
    </row>
    <row r="38" spans="2:34" ht="15.75" thickBot="1" x14ac:dyDescent="0.3">
      <c r="B38" s="52"/>
      <c r="C38" s="53"/>
      <c r="D38" s="31" cm="1">
        <f t="array" ref="D38:H38">TRANSPOSE(AF30:AF34)</f>
        <v>0</v>
      </c>
      <c r="E38" s="31">
        <v>0</v>
      </c>
      <c r="F38" s="31">
        <v>1</v>
      </c>
      <c r="G38" s="31">
        <v>5</v>
      </c>
      <c r="H38" s="31">
        <v>9</v>
      </c>
      <c r="I38" s="48">
        <f>SUM(_xlfn.ANCHORARRAY(D38))</f>
        <v>15</v>
      </c>
    </row>
  </sheetData>
  <sheetProtection sheet="1" objects="1" scenarios="1"/>
  <protectedRanges>
    <protectedRange sqref="E30:F34" name="Range4"/>
    <protectedRange sqref="K13:L20" name="Range2"/>
    <protectedRange sqref="B5:H5" name="Range3"/>
  </protectedRanges>
  <mergeCells count="6">
    <mergeCell ref="D27:G27"/>
    <mergeCell ref="B37:C38"/>
    <mergeCell ref="J11:L11"/>
    <mergeCell ref="D2:G2"/>
    <mergeCell ref="K20:L20"/>
    <mergeCell ref="J21:L21"/>
  </mergeCells>
  <conditionalFormatting sqref="B6:I6">
    <cfRule type="cellIs" dxfId="1" priority="1" operator="equal">
      <formula>"GOOD"</formula>
    </cfRule>
    <cfRule type="cellIs" dxfId="0" priority="2" operator="notEqual">
      <formula>"GOOD"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3E89-90DC-4807-9477-84893585B264}">
  <dimension ref="B2:E8"/>
  <sheetViews>
    <sheetView workbookViewId="0">
      <selection activeCell="B2" sqref="B2:E8"/>
    </sheetView>
  </sheetViews>
  <sheetFormatPr defaultRowHeight="15" x14ac:dyDescent="0.25"/>
  <cols>
    <col min="3" max="3" width="13.28515625" bestFit="1" customWidth="1"/>
    <col min="4" max="4" width="10.7109375" bestFit="1" customWidth="1"/>
    <col min="5" max="5" width="15.28515625" bestFit="1" customWidth="1"/>
  </cols>
  <sheetData>
    <row r="2" spans="2:5" x14ac:dyDescent="0.25">
      <c r="B2" t="s">
        <v>14</v>
      </c>
      <c r="C2" t="s">
        <v>23</v>
      </c>
      <c r="D2" t="s">
        <v>21</v>
      </c>
      <c r="E2" t="s">
        <v>24</v>
      </c>
    </row>
    <row r="3" spans="2:5" x14ac:dyDescent="0.25">
      <c r="B3" t="s">
        <v>16</v>
      </c>
      <c r="C3">
        <v>17</v>
      </c>
      <c r="D3" s="20">
        <f>IFERROR(C3/SUM($C$3:$C$7),0)</f>
        <v>0.2982456140350877</v>
      </c>
      <c r="E3">
        <v>2</v>
      </c>
    </row>
    <row r="4" spans="2:5" x14ac:dyDescent="0.25">
      <c r="B4" t="s">
        <v>17</v>
      </c>
      <c r="C4">
        <v>40</v>
      </c>
      <c r="D4" s="20">
        <f t="shared" ref="D4:D7" si="0">IFERROR(C4/SUM($C$3:$C$7),0)</f>
        <v>0.70175438596491224</v>
      </c>
      <c r="E4">
        <v>1</v>
      </c>
    </row>
    <row r="5" spans="2:5" x14ac:dyDescent="0.25">
      <c r="B5" t="s">
        <v>18</v>
      </c>
      <c r="D5" s="20">
        <f t="shared" si="0"/>
        <v>0</v>
      </c>
    </row>
    <row r="6" spans="2:5" x14ac:dyDescent="0.25">
      <c r="B6" t="s">
        <v>15</v>
      </c>
      <c r="D6" s="20">
        <f t="shared" si="0"/>
        <v>0</v>
      </c>
    </row>
    <row r="7" spans="2:5" x14ac:dyDescent="0.25">
      <c r="B7" t="s">
        <v>19</v>
      </c>
      <c r="D7" s="20">
        <f t="shared" si="0"/>
        <v>0</v>
      </c>
    </row>
    <row r="8" spans="2:5" x14ac:dyDescent="0.25">
      <c r="B8" t="s">
        <v>10</v>
      </c>
      <c r="C8">
        <f>SUM(C3:C7)</f>
        <v>57</v>
      </c>
      <c r="D8" s="19">
        <f t="shared" ref="D8:E8" si="1">SUM(D3:D7)</f>
        <v>1</v>
      </c>
      <c r="E8">
        <f t="shared" si="1"/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7B2003A610B849BA8CE03BFC7DBEEC" ma:contentTypeVersion="11" ma:contentTypeDescription="Create a new document." ma:contentTypeScope="" ma:versionID="9a0b49b593716718f5ee9c37d1e88b4e">
  <xsd:schema xmlns:xsd="http://www.w3.org/2001/XMLSchema" xmlns:xs="http://www.w3.org/2001/XMLSchema" xmlns:p="http://schemas.microsoft.com/office/2006/metadata/properties" xmlns:ns3="5922ec4c-ca74-4a40-a0f1-8fb3fac6def5" targetNamespace="http://schemas.microsoft.com/office/2006/metadata/properties" ma:root="true" ma:fieldsID="999189822669bd7750ee6dd890194684" ns3:_="">
    <xsd:import namespace="5922ec4c-ca74-4a40-a0f1-8fb3fac6de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2ec4c-ca74-4a40-a0f1-8fb3fac6de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22ec4c-ca74-4a40-a0f1-8fb3fac6def5" xsi:nil="true"/>
  </documentManagement>
</p:properties>
</file>

<file path=customXml/itemProps1.xml><?xml version="1.0" encoding="utf-8"?>
<ds:datastoreItem xmlns:ds="http://schemas.openxmlformats.org/officeDocument/2006/customXml" ds:itemID="{81A762F4-8EF7-4599-A36F-0EF80C675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2ec4c-ca74-4a40-a0f1-8fb3fac6d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3E1A9B-8123-4286-ABE3-CB992584D7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4A750-FA19-4802-A2F2-9E614E2960AC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5922ec4c-ca74-4a40-a0f1-8fb3fac6def5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 Curve</vt:lpstr>
      <vt:lpstr>Basic Land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Neese</dc:creator>
  <cp:lastModifiedBy>Simeon Neese</cp:lastModifiedBy>
  <dcterms:created xsi:type="dcterms:W3CDTF">2026-04-19T17:41:44Z</dcterms:created>
  <dcterms:modified xsi:type="dcterms:W3CDTF">2026-04-30T19:14:40Z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0x010100C57B2003A610B849BA8CE03BFC7DBEEC</vt:lpwstr>
  </property>
</Properties>
</file>